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l\OneDrive\Documents\Data Engineer\Projets\Master Data Engineering\Machine-learning-project-lionel-karl\"/>
    </mc:Choice>
  </mc:AlternateContent>
  <xr:revisionPtr revIDLastSave="0" documentId="13_ncr:1_{325F4088-689B-49D8-ACAA-F8033CF9628B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Rétroplanning" sheetId="1" r:id="rId1"/>
    <sheet name="Risqu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<sst xmlns="http://schemas.openxmlformats.org/spreadsheetml/2006/main" count="82" uniqueCount="66">
  <si>
    <t>RÉTROPLANNING — Analyse automatique d'avis clients (ABSA)</t>
  </si>
  <si>
    <t>Phase</t>
  </si>
  <si>
    <t>Tâche</t>
  </si>
  <si>
    <t>Responsable</t>
  </si>
  <si>
    <t>Début</t>
  </si>
  <si>
    <t>Fin</t>
  </si>
  <si>
    <t>Durée (j)</t>
  </si>
  <si>
    <t>Dépendance</t>
  </si>
  <si>
    <t>Jalon</t>
  </si>
  <si>
    <t>1. Données</t>
  </si>
  <si>
    <t>Choisir et valider le dataset ABSA (labels par aspect confirmés)</t>
  </si>
  <si>
    <t>Les deux</t>
  </si>
  <si>
    <t>—</t>
  </si>
  <si>
    <t>Dataset validé</t>
  </si>
  <si>
    <t>Nettoyage, tokenisation, split train/val/test</t>
  </si>
  <si>
    <t>Données prêtes</t>
  </si>
  <si>
    <t>2. Baseline</t>
  </si>
  <si>
    <t>LSTM / Bi-LSTM : boucle d'entraînement, métriques</t>
  </si>
  <si>
    <t>Données prêtes (partiel)</t>
  </si>
  <si>
    <t>Baseline + métriques</t>
  </si>
  <si>
    <t>2bis. Démo (précoce)</t>
  </si>
  <si>
    <t>Squelette Streamlit avec prédictions baseline</t>
  </si>
  <si>
    <t>Baseline en cours</t>
  </si>
  <si>
    <t>UI fonctionnelle sur baseline</t>
  </si>
  <si>
    <t>3. Modèle avancé</t>
  </si>
  <si>
    <t>Fine-tuning BERT pour ABSA</t>
  </si>
  <si>
    <t>Baseline validée</t>
  </si>
  <si>
    <t>Modèle Transformer entraîné</t>
  </si>
  <si>
    <t>Comparaison baseline vs BERT, analyse d'erreurs</t>
  </si>
  <si>
    <t>Tableau comparatif</t>
  </si>
  <si>
    <t>4. Démo finale</t>
  </si>
  <si>
    <t>Brancher le modèle final sur Streamlit, polish UI</t>
  </si>
  <si>
    <t>Modèle final choisi</t>
  </si>
  <si>
    <t>Démo branchée sur modèle final</t>
  </si>
  <si>
    <t>5. Livrables</t>
  </si>
  <si>
    <t>Rédaction du rapport (3–5 pages)</t>
  </si>
  <si>
    <t>Résultats partiels disponibles</t>
  </si>
  <si>
    <t>Rapport rédigé</t>
  </si>
  <si>
    <t>Tournage et montage de la vidéo</t>
  </si>
  <si>
    <t>Démo + rapport quasi finalisés</t>
  </si>
  <si>
    <t>Vidéo prête</t>
  </si>
  <si>
    <t>6. Soumission</t>
  </si>
  <si>
    <t>Nettoyage repo GitHub, relecture croisée, dépôt Blackboard</t>
  </si>
  <si>
    <t>Tout terminé</t>
  </si>
  <si>
    <t>Soumis</t>
  </si>
  <si>
    <t>RISQUES IDENTIFIÉS</t>
  </si>
  <si>
    <t>Risque</t>
  </si>
  <si>
    <t>Impact</t>
  </si>
  <si>
    <t>Mitigation</t>
  </si>
  <si>
    <t>Niveau</t>
  </si>
  <si>
    <t>Dataset ABSA sans annotations natives par aspect</t>
  </si>
  <si>
    <t>Retravail du prétraitement, retard sur le chemin critique</t>
  </si>
  <si>
    <t>Valider dès la semaine 1 que le dataset a bien des labels aspect-level ; sinon prévoir annotation semi-automatique</t>
  </si>
  <si>
    <t>Élevé</t>
  </si>
  <si>
    <t>Complexité du fine-tuning BERT pour tâche multi-aspect</t>
  </si>
  <si>
    <t>Sous-estimation du temps de développement modèle</t>
  </si>
  <si>
    <t>Prototyper rapidement sur un sous-échantillon avant de scaler</t>
  </si>
  <si>
    <t>Moyen</t>
  </si>
  <si>
    <t>Calendrier compressé (3,5 semaines)</t>
  </si>
  <si>
    <t>Peu de marge en cas de retard sur la phase données</t>
  </si>
  <si>
    <t>Paralléliser les phases dès le départ (baseline + démo en parallèle du fine-tuning)</t>
  </si>
  <si>
    <t>Fine-tuning BERT non stabilisé le 24/08</t>
  </si>
  <si>
    <t>Retard en cascade sur rapport, démo et vidéo</t>
  </si>
  <si>
    <t>Plan de repli : documenter le fine-tuning comme 'en cours' et baser l'analyse critique sur baseline vs BERT partiel</t>
  </si>
  <si>
    <t>Deadline de soumission : 11 août 2026  |  Cadrage établi le : 7 août 2026</t>
  </si>
  <si>
    <t>Chemin critique : dataset validé → données prêtes → baseline → fine-tuning BERT  → démo finale + rapport → vidéo → soumission. Un retard de plus de 2–3 jours sur la validation du dataset fait glisser tout le calendrier.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</si>
</sst>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3864"/>
      <name val="Calibri"/>
      <charset val="1"/>
    </font>
    <font>
      <i/>
      <sz val="11"/>
      <color rgb="FF444444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i/>
      <sz val="10"/>
      <color rgb="FF444444"/>
      <name val="Calibri"/>
      <charset val="1"/>
    </font>
    <font>
      <b/>
      <sz val="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16"/>
  <sheetViews>
    <sheetView tabSelected="1" zoomScaleNormal="100" workbookViewId="0">
      <pane ySplit="4" topLeftCell="A5" activePane="bottomLeft" state="frozen"/>
      <selection pane="bottomLeft" activeCell="B10" sqref="B10"/>
    </sheetView>
  </sheetViews>
  <sheetFormatPr baseColWidth="10" defaultColWidth="8.6328125" defaultRowHeight="14.5" x14ac:dyDescent="0.35"/>
  <cols>
    <col min="1" max="1" width="16" customWidth="1"/>
    <col min="2" max="2" width="42" customWidth="1"/>
    <col min="3" max="5" width="12" customWidth="1"/>
    <col min="6" max="6" width="10" customWidth="1"/>
    <col min="7" max="7" width="24" customWidth="1"/>
    <col min="8" max="8" width="26" customWidth="1"/>
  </cols>
  <sheetData>
    <row r="1" spans="1:8" ht="21.75" customHeight="1" x14ac:dyDescent="0.5">
      <c r="A1" s="10" t="s">
        <v>0</v>
      </c>
      <c r="B1" s="10"/>
      <c r="C1" s="10"/>
      <c r="D1" s="10"/>
      <c r="E1" s="10"/>
      <c r="F1" s="10"/>
      <c r="G1" s="10"/>
      <c r="H1" s="10"/>
    </row>
    <row r="2" spans="1:8" x14ac:dyDescent="0.35">
      <c r="A2" s="11" t="s">
        <v>64</v>
      </c>
      <c r="B2" s="11"/>
      <c r="C2" s="11"/>
      <c r="D2" s="11"/>
      <c r="E2" s="11"/>
      <c r="F2" s="11"/>
      <c r="G2" s="11"/>
      <c r="H2" s="11"/>
    </row>
    <row r="4" spans="1:8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29" x14ac:dyDescent="0.35">
      <c r="A5" s="2" t="s">
        <v>9</v>
      </c>
      <c r="B5" s="2" t="s">
        <v>10</v>
      </c>
      <c r="C5" s="3" t="s">
        <v>11</v>
      </c>
      <c r="D5" s="4">
        <v>46241</v>
      </c>
      <c r="E5" s="4">
        <v>46244</v>
      </c>
      <c r="F5" s="3">
        <f t="shared" ref="F5:F14" si="0">E6-D6</f>
        <v>4</v>
      </c>
      <c r="G5" s="2" t="s">
        <v>12</v>
      </c>
      <c r="H5" s="2" t="s">
        <v>13</v>
      </c>
    </row>
    <row r="6" spans="1:8" x14ac:dyDescent="0.35">
      <c r="A6" s="5" t="s">
        <v>9</v>
      </c>
      <c r="B6" s="5" t="s">
        <v>14</v>
      </c>
      <c r="C6" s="6" t="s">
        <v>11</v>
      </c>
      <c r="D6" s="7">
        <v>46244</v>
      </c>
      <c r="E6" s="7">
        <v>46248</v>
      </c>
      <c r="F6" s="6">
        <f t="shared" si="0"/>
        <v>6</v>
      </c>
      <c r="G6" s="5" t="s">
        <v>13</v>
      </c>
      <c r="H6" s="5" t="s">
        <v>15</v>
      </c>
    </row>
    <row r="7" spans="1:8" ht="29" x14ac:dyDescent="0.35">
      <c r="A7" s="2" t="s">
        <v>16</v>
      </c>
      <c r="B7" s="2" t="s">
        <v>17</v>
      </c>
      <c r="C7" s="3" t="s">
        <v>11</v>
      </c>
      <c r="D7" s="4">
        <v>46245</v>
      </c>
      <c r="E7" s="4">
        <v>46251</v>
      </c>
      <c r="F7" s="3">
        <f t="shared" si="0"/>
        <v>5</v>
      </c>
      <c r="G7" s="2" t="s">
        <v>18</v>
      </c>
      <c r="H7" s="2" t="s">
        <v>19</v>
      </c>
    </row>
    <row r="8" spans="1:8" ht="29" x14ac:dyDescent="0.35">
      <c r="A8" s="5" t="s">
        <v>20</v>
      </c>
      <c r="B8" s="5" t="s">
        <v>21</v>
      </c>
      <c r="C8" s="6" t="s">
        <v>11</v>
      </c>
      <c r="D8" s="7">
        <v>46248</v>
      </c>
      <c r="E8" s="7">
        <v>46253</v>
      </c>
      <c r="F8" s="6">
        <f t="shared" si="0"/>
        <v>7</v>
      </c>
      <c r="G8" s="5" t="s">
        <v>22</v>
      </c>
      <c r="H8" s="5" t="s">
        <v>23</v>
      </c>
    </row>
    <row r="9" spans="1:8" x14ac:dyDescent="0.35">
      <c r="A9" s="2" t="s">
        <v>24</v>
      </c>
      <c r="B9" s="2" t="s">
        <v>25</v>
      </c>
      <c r="C9" s="3" t="s">
        <v>11</v>
      </c>
      <c r="D9" s="4">
        <v>46251</v>
      </c>
      <c r="E9" s="4">
        <v>46258</v>
      </c>
      <c r="F9" s="3">
        <f t="shared" si="0"/>
        <v>2</v>
      </c>
      <c r="G9" s="2" t="s">
        <v>26</v>
      </c>
      <c r="H9" s="2" t="s">
        <v>27</v>
      </c>
    </row>
    <row r="10" spans="1:8" ht="29" x14ac:dyDescent="0.35">
      <c r="A10" s="5" t="s">
        <v>24</v>
      </c>
      <c r="B10" s="5" t="s">
        <v>28</v>
      </c>
      <c r="C10" s="6" t="s">
        <v>11</v>
      </c>
      <c r="D10" s="7">
        <v>46258</v>
      </c>
      <c r="E10" s="7">
        <v>46260</v>
      </c>
      <c r="F10" s="6">
        <f t="shared" si="0"/>
        <v>3</v>
      </c>
      <c r="G10" s="5" t="s">
        <v>27</v>
      </c>
      <c r="H10" s="5" t="s">
        <v>29</v>
      </c>
    </row>
    <row r="11" spans="1:8" ht="29" x14ac:dyDescent="0.35">
      <c r="A11" s="2" t="s">
        <v>30</v>
      </c>
      <c r="B11" s="2" t="s">
        <v>31</v>
      </c>
      <c r="C11" s="3" t="s">
        <v>11</v>
      </c>
      <c r="D11" s="4">
        <v>46258</v>
      </c>
      <c r="E11" s="4">
        <v>46261</v>
      </c>
      <c r="F11" s="3">
        <f t="shared" si="0"/>
        <v>9</v>
      </c>
      <c r="G11" s="2" t="s">
        <v>32</v>
      </c>
      <c r="H11" s="2" t="s">
        <v>33</v>
      </c>
    </row>
    <row r="12" spans="1:8" ht="29" x14ac:dyDescent="0.35">
      <c r="A12" s="5" t="s">
        <v>34</v>
      </c>
      <c r="B12" s="5" t="s">
        <v>35</v>
      </c>
      <c r="C12" s="6" t="s">
        <v>11</v>
      </c>
      <c r="D12" s="7">
        <v>46254</v>
      </c>
      <c r="E12" s="7">
        <v>46263</v>
      </c>
      <c r="F12" s="6">
        <f t="shared" si="0"/>
        <v>3</v>
      </c>
      <c r="G12" s="5" t="s">
        <v>36</v>
      </c>
      <c r="H12" s="5" t="s">
        <v>37</v>
      </c>
    </row>
    <row r="13" spans="1:8" ht="29" x14ac:dyDescent="0.35">
      <c r="A13" s="2" t="s">
        <v>34</v>
      </c>
      <c r="B13" s="2" t="s">
        <v>38</v>
      </c>
      <c r="C13" s="3" t="s">
        <v>11</v>
      </c>
      <c r="D13" s="4">
        <v>46261</v>
      </c>
      <c r="E13" s="4">
        <v>46264</v>
      </c>
      <c r="F13" s="3">
        <f t="shared" si="0"/>
        <v>0</v>
      </c>
      <c r="G13" s="2" t="s">
        <v>39</v>
      </c>
      <c r="H13" s="2" t="s">
        <v>40</v>
      </c>
    </row>
    <row r="14" spans="1:8" ht="29" x14ac:dyDescent="0.35">
      <c r="A14" s="5" t="s">
        <v>41</v>
      </c>
      <c r="B14" s="5" t="s">
        <v>42</v>
      </c>
      <c r="C14" s="6" t="s">
        <v>11</v>
      </c>
      <c r="D14" s="7">
        <v>46265</v>
      </c>
      <c r="E14" s="7">
        <v>46265</v>
      </c>
      <c r="F14" s="6">
        <f t="shared" si="0"/>
        <v>0</v>
      </c>
      <c r="G14" s="5" t="s">
        <v>43</v>
      </c>
      <c r="H14" s="5" t="s">
        <v>44</v>
      </c>
    </row>
    <row r="16" spans="1:8" ht="45" customHeight="1" x14ac:dyDescent="0.35">
      <c r="A16" s="12" t="s">
        <v>65</v>
      </c>
      <c r="B16" s="12"/>
      <c r="C16" s="12"/>
      <c r="D16" s="12"/>
      <c r="E16" s="12"/>
      <c r="F16" s="12"/>
      <c r="G16" s="12"/>
      <c r="H16" s="12"/>
    </row>
  </sheetData>
  <mergeCells count="3">
    <mergeCell ref="A1:H1"/>
    <mergeCell ref="A2:H2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D7"/>
  <sheetViews>
    <sheetView zoomScaleNormal="100" workbookViewId="0">
      <pane ySplit="3" topLeftCell="A4" activePane="bottomLeft" state="frozen"/>
      <selection pane="bottomLeft" activeCell="B16" sqref="B16"/>
    </sheetView>
  </sheetViews>
  <sheetFormatPr baseColWidth="10" defaultColWidth="8.6328125" defaultRowHeight="14.5" x14ac:dyDescent="0.35"/>
  <cols>
    <col min="1" max="1" width="32" customWidth="1"/>
    <col min="2" max="2" width="38" customWidth="1"/>
    <col min="3" max="3" width="44" customWidth="1"/>
    <col min="4" max="4" width="12" customWidth="1"/>
  </cols>
  <sheetData>
    <row r="1" spans="1:4" ht="21" x14ac:dyDescent="0.5">
      <c r="A1" s="13" t="s">
        <v>45</v>
      </c>
      <c r="B1" s="13"/>
      <c r="C1" s="13"/>
      <c r="D1" s="13"/>
    </row>
    <row r="3" spans="1:4" x14ac:dyDescent="0.35">
      <c r="A3" s="1" t="s">
        <v>46</v>
      </c>
      <c r="B3" s="1" t="s">
        <v>47</v>
      </c>
      <c r="C3" s="1" t="s">
        <v>48</v>
      </c>
      <c r="D3" s="1" t="s">
        <v>49</v>
      </c>
    </row>
    <row r="4" spans="1:4" ht="43.5" x14ac:dyDescent="0.35">
      <c r="A4" s="5" t="s">
        <v>50</v>
      </c>
      <c r="B4" s="5" t="s">
        <v>51</v>
      </c>
      <c r="C4" s="5" t="s">
        <v>52</v>
      </c>
      <c r="D4" s="8" t="s">
        <v>53</v>
      </c>
    </row>
    <row r="5" spans="1:4" ht="29" x14ac:dyDescent="0.35">
      <c r="A5" s="2" t="s">
        <v>54</v>
      </c>
      <c r="B5" s="2" t="s">
        <v>55</v>
      </c>
      <c r="C5" s="2" t="s">
        <v>56</v>
      </c>
      <c r="D5" s="9" t="s">
        <v>57</v>
      </c>
    </row>
    <row r="6" spans="1:4" ht="29" x14ac:dyDescent="0.35">
      <c r="A6" s="2" t="s">
        <v>58</v>
      </c>
      <c r="B6" s="2" t="s">
        <v>59</v>
      </c>
      <c r="C6" s="2" t="s">
        <v>60</v>
      </c>
      <c r="D6" s="8" t="s">
        <v>53</v>
      </c>
    </row>
    <row r="7" spans="1:4" ht="43.5" x14ac:dyDescent="0.35">
      <c r="A7" s="5" t="s">
        <v>61</v>
      </c>
      <c r="B7" s="5" t="s">
        <v>62</v>
      </c>
      <c r="C7" s="5" t="s">
        <v>63</v>
      </c>
      <c r="D7" s="9" t="s">
        <v>57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Rétroplanning</vt:lpstr>
      <vt:lpstr>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Karl SONDEJI</cp:lastModifiedBy>
  <cp:revision>0</cp:revision>
  <dcterms:created xsi:type="dcterms:W3CDTF">2026-08-07T20:15:27Z</dcterms:created>
  <dcterms:modified xsi:type="dcterms:W3CDTF">2026-08-09T20:50:07Z</dcterms:modified>
  <dc:language>en-US</dc:language>
</cp:coreProperties>
</file>